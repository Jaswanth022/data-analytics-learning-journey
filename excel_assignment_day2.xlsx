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su\OneDrive\Desktop\Data analyst\Excel\"/>
    </mc:Choice>
  </mc:AlternateContent>
  <xr:revisionPtr revIDLastSave="0" documentId="13_ncr:1_{1770C15A-06D7-44F3-AD59-ABADF42739CF}" xr6:coauthVersionLast="47" xr6:coauthVersionMax="47" xr10:uidLastSave="{00000000-0000-0000-0000-000000000000}"/>
  <bookViews>
    <workbookView xWindow="-108" yWindow="-108" windowWidth="23256" windowHeight="12456" xr2:uid="{4863887A-BE48-4F85-8F09-3C87F728BC9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R6" i="1"/>
  <c r="R5" i="1"/>
  <c r="R4" i="1"/>
  <c r="R3" i="1"/>
  <c r="R2" i="1"/>
  <c r="P6" i="1"/>
  <c r="P5" i="1"/>
  <c r="P4" i="1"/>
  <c r="P3" i="1"/>
  <c r="P2" i="1"/>
  <c r="O6" i="1"/>
  <c r="O5" i="1"/>
  <c r="O4" i="1"/>
  <c r="O3" i="1"/>
  <c r="O2" i="1"/>
  <c r="N6" i="1"/>
  <c r="N5" i="1"/>
  <c r="N4" i="1"/>
  <c r="N3" i="1"/>
  <c r="N2" i="1"/>
  <c r="I2" i="1"/>
  <c r="M6" i="1"/>
  <c r="M5" i="1"/>
  <c r="M4" i="1"/>
  <c r="M3" i="1"/>
  <c r="M2" i="1"/>
  <c r="L6" i="1"/>
  <c r="L5" i="1"/>
  <c r="L4" i="1"/>
  <c r="L3" i="1"/>
  <c r="L2" i="1"/>
  <c r="K6" i="1"/>
  <c r="K5" i="1"/>
  <c r="K4" i="1"/>
  <c r="K3" i="1"/>
  <c r="K2" i="1"/>
  <c r="J6" i="1"/>
  <c r="J5" i="1"/>
  <c r="J4" i="1"/>
  <c r="J3" i="1"/>
  <c r="J2" i="1"/>
  <c r="I6" i="1"/>
  <c r="I5" i="1"/>
  <c r="I4" i="1"/>
  <c r="I3" i="1"/>
  <c r="H6" i="1"/>
  <c r="H5" i="1"/>
  <c r="H4" i="1"/>
  <c r="H3" i="1"/>
  <c r="H2" i="1"/>
  <c r="G6" i="1"/>
  <c r="G5" i="1"/>
  <c r="G4" i="1"/>
  <c r="G3" i="1"/>
  <c r="G2" i="1"/>
  <c r="F6" i="1"/>
  <c r="F5" i="1"/>
  <c r="F4" i="1"/>
  <c r="F3" i="1"/>
  <c r="F2" i="1"/>
  <c r="E6" i="1"/>
  <c r="E5" i="1"/>
  <c r="E4" i="1"/>
  <c r="E3" i="1"/>
  <c r="E2" i="1"/>
  <c r="B10" i="1"/>
  <c r="B8" i="1"/>
</calcChain>
</file>

<file path=xl/sharedStrings.xml><?xml version="1.0" encoding="utf-8"?>
<sst xmlns="http://schemas.openxmlformats.org/spreadsheetml/2006/main" count="30" uniqueCount="28">
  <si>
    <t>Name</t>
  </si>
  <si>
    <t>Department</t>
  </si>
  <si>
    <t>Salary</t>
  </si>
  <si>
    <t>Bonus</t>
  </si>
  <si>
    <t>ravi kumar</t>
  </si>
  <si>
    <t>IT</t>
  </si>
  <si>
    <t>PRIYA SHARMA</t>
  </si>
  <si>
    <t>HR</t>
  </si>
  <si>
    <t>Kiran Reddy</t>
  </si>
  <si>
    <t>anjali Rao</t>
  </si>
  <si>
    <t>Sales</t>
  </si>
  <si>
    <t>ARJUN Verma</t>
  </si>
  <si>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salary</t>
    </r>
  </si>
  <si>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Department</t>
    </r>
  </si>
  <si>
    <t>MOD</t>
  </si>
  <si>
    <t>Round</t>
  </si>
  <si>
    <t>celingmath</t>
  </si>
  <si>
    <t>floormath</t>
  </si>
  <si>
    <t>upper</t>
  </si>
  <si>
    <t>lower</t>
  </si>
  <si>
    <t>left</t>
  </si>
  <si>
    <t>mid</t>
  </si>
  <si>
    <t>right</t>
  </si>
  <si>
    <t>exact</t>
  </si>
  <si>
    <t>length</t>
  </si>
  <si>
    <t>find</t>
  </si>
  <si>
    <t>substitute</t>
  </si>
  <si>
    <t xml:space="preserve">     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</si>
</sst>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6EEA-023A-49AE-87A3-90479264F516}">
  <dimension ref="A1:R10"/>
  <sheetViews>
    <sheetView tabSelected="1" workbookViewId="0">
      <selection activeCell="M11" sqref="M11"/>
    </sheetView>
  </sheetViews>
  <sheetFormatPr defaultRowHeight="14.4" x14ac:dyDescent="0.3"/>
  <cols>
    <col min="2" max="2" width="12.5546875" customWidth="1"/>
    <col min="7" max="7" width="10.109375" customWidth="1"/>
    <col min="9" max="9" width="13.109375" customWidth="1"/>
    <col min="10" max="10" width="11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24</v>
      </c>
      <c r="O1" s="4" t="s">
        <v>23</v>
      </c>
      <c r="P1" s="4" t="s">
        <v>25</v>
      </c>
      <c r="Q1" s="4" t="s">
        <v>26</v>
      </c>
      <c r="R1" s="4" t="s">
        <v>27</v>
      </c>
    </row>
    <row r="2" spans="1:18" ht="28.8" x14ac:dyDescent="0.3">
      <c r="A2" s="2" t="s">
        <v>4</v>
      </c>
      <c r="B2" s="2" t="s">
        <v>5</v>
      </c>
      <c r="C2" s="2">
        <v>45789</v>
      </c>
      <c r="D2" s="2">
        <v>2500</v>
      </c>
      <c r="E2">
        <f>MOD(C2,1000)</f>
        <v>789</v>
      </c>
      <c r="F2">
        <f>ROUND(C2,-3)</f>
        <v>46000</v>
      </c>
      <c r="G2">
        <f>_xlfn.CEILING.MATH(C2,1000)</f>
        <v>46000</v>
      </c>
      <c r="H2" s="5">
        <f>_xlfn.FLOOR.MATH(C2,1000)</f>
        <v>45000</v>
      </c>
      <c r="I2" t="str">
        <f>UPPER(A2)</f>
        <v>RAVI KUMAR</v>
      </c>
      <c r="J2" t="str">
        <f>LOWER(A2)</f>
        <v>ravi kumar</v>
      </c>
      <c r="K2" t="str">
        <f>LEFT(A2,5)</f>
        <v xml:space="preserve">ravi </v>
      </c>
      <c r="L2" t="str">
        <f>MID(A2,2,4)</f>
        <v xml:space="preserve">avi </v>
      </c>
      <c r="M2" t="str">
        <f>RIGHT(A2,4)</f>
        <v>umar</v>
      </c>
      <c r="N2">
        <f>LEN(A2)</f>
        <v>10</v>
      </c>
      <c r="O2" t="b">
        <f>EXACT(A2,I2)</f>
        <v>0</v>
      </c>
      <c r="P2">
        <f>FIND("r",A2)</f>
        <v>1</v>
      </c>
      <c r="Q2" t="str">
        <f>SUBSTITUTE(B4,"IT","Tech")</f>
        <v>Tech</v>
      </c>
      <c r="R2" t="str">
        <f>IF(C2&gt;40000,"high","low")</f>
        <v>high</v>
      </c>
    </row>
    <row r="3" spans="1:18" ht="28.8" x14ac:dyDescent="0.3">
      <c r="A3" s="2" t="s">
        <v>6</v>
      </c>
      <c r="B3" s="2" t="s">
        <v>7</v>
      </c>
      <c r="C3" s="2">
        <v>38990</v>
      </c>
      <c r="D3" s="2">
        <v>1800</v>
      </c>
      <c r="E3">
        <f>MOD(C3,1000)</f>
        <v>990</v>
      </c>
      <c r="F3">
        <f>ROUND(C3,-2)</f>
        <v>39000</v>
      </c>
      <c r="G3">
        <f>_xlfn.CEILING.MATH(C3,1000)</f>
        <v>39000</v>
      </c>
      <c r="H3">
        <f>_xlfn.FLOOR.MATH(C3,1000)</f>
        <v>38000</v>
      </c>
      <c r="I3" t="str">
        <f>UPPER(A3)</f>
        <v>PRIYA SHARMA</v>
      </c>
      <c r="J3" t="str">
        <f>LOWER(A3)</f>
        <v>priya sharma</v>
      </c>
      <c r="K3" t="str">
        <f>LEFT(A3,5)</f>
        <v>PRIYA</v>
      </c>
      <c r="L3" t="str">
        <f>MID(A3,2,4)</f>
        <v>RIYA</v>
      </c>
      <c r="M3" t="str">
        <f>RIGHT(A3,4)</f>
        <v>ARMA</v>
      </c>
      <c r="N3">
        <f>LEN(A3)</f>
        <v>12</v>
      </c>
      <c r="O3" t="b">
        <f>EXACT(A3,I3)</f>
        <v>1</v>
      </c>
      <c r="P3">
        <f>FIND("R",A3)</f>
        <v>2</v>
      </c>
      <c r="R3" t="str">
        <f>IF(C3&gt;40000,"high","low")</f>
        <v>low</v>
      </c>
    </row>
    <row r="4" spans="1:18" ht="28.8" x14ac:dyDescent="0.3">
      <c r="A4" s="2" t="s">
        <v>8</v>
      </c>
      <c r="B4" s="2" t="s">
        <v>5</v>
      </c>
      <c r="C4" s="2">
        <v>52340</v>
      </c>
      <c r="D4" s="2">
        <v>3000</v>
      </c>
      <c r="E4">
        <f>MOD(C4,1000)</f>
        <v>340</v>
      </c>
      <c r="F4">
        <f>ROUND(C4,-3)</f>
        <v>52000</v>
      </c>
      <c r="G4">
        <f>_xlfn.CEILING.MATH(C4,1000)</f>
        <v>53000</v>
      </c>
      <c r="H4">
        <f>_xlfn.FLOOR.MATH(C4,1000)</f>
        <v>52000</v>
      </c>
      <c r="I4" t="str">
        <f>UPPER(A4)</f>
        <v>KIRAN REDDY</v>
      </c>
      <c r="J4" t="str">
        <f>LOWER(A4)</f>
        <v>kiran reddy</v>
      </c>
      <c r="K4" t="str">
        <f>LEFT(A4,5)</f>
        <v>Kiran</v>
      </c>
      <c r="L4" t="str">
        <f>MID(A4,2,4)</f>
        <v>iran</v>
      </c>
      <c r="M4" t="str">
        <f>RIGHT(A4,4)</f>
        <v>eddy</v>
      </c>
      <c r="N4">
        <f>LEN(A4)</f>
        <v>11</v>
      </c>
      <c r="O4" t="b">
        <f>EXACT(A4,J4)</f>
        <v>0</v>
      </c>
      <c r="P4">
        <f>FIND("r",A4)</f>
        <v>3</v>
      </c>
      <c r="R4" t="str">
        <f>IF(C4&gt;40000,"high","low")</f>
        <v>high</v>
      </c>
    </row>
    <row r="5" spans="1:18" ht="28.8" x14ac:dyDescent="0.3">
      <c r="A5" s="2" t="s">
        <v>9</v>
      </c>
      <c r="B5" s="2" t="s">
        <v>10</v>
      </c>
      <c r="C5" s="2">
        <v>29876</v>
      </c>
      <c r="D5" s="2">
        <v>1500</v>
      </c>
      <c r="E5">
        <f>MOD(C5,1000)</f>
        <v>876</v>
      </c>
      <c r="F5">
        <f>ROUND(C5,-3)</f>
        <v>30000</v>
      </c>
      <c r="G5">
        <f>_xlfn.CEILING.MATH(C5,1000)</f>
        <v>30000</v>
      </c>
      <c r="H5">
        <f>_xlfn.FLOOR.MATH(C5,1000)</f>
        <v>29000</v>
      </c>
      <c r="I5" t="str">
        <f>UPPER(A5)</f>
        <v>ANJALI RAO</v>
      </c>
      <c r="J5" t="str">
        <f>LOWER(A5)</f>
        <v>anjali rao</v>
      </c>
      <c r="K5" t="str">
        <f>LEFT(A5,5)</f>
        <v>anjal</v>
      </c>
      <c r="L5" t="str">
        <f>MID(A5,2,4)</f>
        <v>njal</v>
      </c>
      <c r="M5" t="str">
        <f>RIGHT(A5,4)</f>
        <v xml:space="preserve"> Rao</v>
      </c>
      <c r="N5">
        <f>LEN(A5)</f>
        <v>10</v>
      </c>
      <c r="O5" t="b">
        <f>EXACT(A5,J5)</f>
        <v>0</v>
      </c>
      <c r="P5">
        <f>FIND("R",A5)</f>
        <v>8</v>
      </c>
      <c r="R5" t="str">
        <f>IF(C5&gt;40000,"high","low")</f>
        <v>low</v>
      </c>
    </row>
    <row r="6" spans="1:18" ht="28.8" x14ac:dyDescent="0.3">
      <c r="A6" s="2" t="s">
        <v>11</v>
      </c>
      <c r="B6" s="2" t="s">
        <v>7</v>
      </c>
      <c r="C6" s="2">
        <v>47654</v>
      </c>
      <c r="D6" s="2">
        <v>2200</v>
      </c>
      <c r="E6">
        <f>MOD(C6,1000)</f>
        <v>654</v>
      </c>
      <c r="F6">
        <f>ROUND(C6,-3)</f>
        <v>48000</v>
      </c>
      <c r="G6">
        <f>_xlfn.CEILING.MATH(C6,1000)</f>
        <v>48000</v>
      </c>
      <c r="H6">
        <f>_xlfn.FLOOR.MATH(C6,1000)</f>
        <v>47000</v>
      </c>
      <c r="I6" t="str">
        <f>UPPER(A6)</f>
        <v>ARJUN VERMA</v>
      </c>
      <c r="J6" t="str">
        <f>LOWER(A6)</f>
        <v>arjun verma</v>
      </c>
      <c r="K6" t="str">
        <f>LEFT(A6,5)</f>
        <v>ARJUN</v>
      </c>
      <c r="L6" t="str">
        <f>MID(A6,2,4)</f>
        <v>RJUN</v>
      </c>
      <c r="M6" t="str">
        <f>RIGHT(A6,4)</f>
        <v>erma</v>
      </c>
      <c r="N6">
        <f>LEN(A6)</f>
        <v>11</v>
      </c>
      <c r="O6" t="b">
        <f>EXACT(A6,I6)</f>
        <v>0</v>
      </c>
      <c r="P6">
        <f>FIND("r",A6)</f>
        <v>9</v>
      </c>
      <c r="R6" t="str">
        <f>IF(C6&gt;40000,"high","low")</f>
        <v>high</v>
      </c>
    </row>
    <row r="7" spans="1:18" x14ac:dyDescent="0.3">
      <c r="B7" s="2" t="s">
        <v>12</v>
      </c>
    </row>
    <row r="8" spans="1:18" x14ac:dyDescent="0.3">
      <c r="B8" s="3">
        <f>SUMIF(B2:B6,"IT",C2:C6)</f>
        <v>98129</v>
      </c>
    </row>
    <row r="9" spans="1:18" ht="28.8" x14ac:dyDescent="0.3">
      <c r="B9" s="2" t="s">
        <v>13</v>
      </c>
    </row>
    <row r="10" spans="1:18" x14ac:dyDescent="0.3">
      <c r="B10">
        <f>COUNTIF(B2:B6,"HR")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3C1C-3FF6-4E40-A1D8-26DD2374D8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EE20-40FA-471E-AFD7-F83DBA167F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Naidu</dc:creator>
  <cp:lastModifiedBy>Jaswanth Naidu</cp:lastModifiedBy>
  <dcterms:created xsi:type="dcterms:W3CDTF">2026-05-26T09:50:27Z</dcterms:created>
  <dcterms:modified xsi:type="dcterms:W3CDTF">2026-05-26T11:12:57Z</dcterms:modified>
</cp:coreProperties>
</file>